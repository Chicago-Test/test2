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bookViews>
    <workbookView xWindow="0" yWindow="0" windowWidth="60" windowHeight="0"/>
  </bookViews>
  <sheets>
    <sheet name="Sheet1" sheetId="1" r:id="rId1"/>
  </sheets>
  <calcPr calcId="152511" calcOnSave="0"/>
</workbook>
</file>

<file path=xl/calcChain.xml><?xml version="1.0" encoding="utf-8"?>
<calcChain xmlns="http://schemas.openxmlformats.org/spreadsheetml/2006/main">
  <c r="A35" i="1" l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B43" i="1"/>
  <c r="AA43" i="1"/>
  <c r="Z43" i="1"/>
  <c r="Y43" i="1"/>
  <c r="X43" i="1"/>
  <c r="W43" i="1"/>
  <c r="V43" i="1"/>
  <c r="U43" i="1"/>
  <c r="T43" i="1"/>
  <c r="S43" i="1"/>
  <c r="R43" i="1"/>
  <c r="Q43" i="1"/>
  <c r="P43" i="1"/>
  <c r="O43" i="1"/>
  <c r="N43" i="1"/>
  <c r="M43" i="1"/>
  <c r="L43" i="1"/>
  <c r="K43" i="1"/>
  <c r="J43" i="1"/>
  <c r="I43" i="1"/>
  <c r="H43" i="1"/>
  <c r="G43" i="1"/>
  <c r="F43" i="1"/>
  <c r="G40" i="1"/>
  <c r="F41" i="1"/>
  <c r="F40" i="1"/>
  <c r="A36" i="1"/>
  <c r="F29" i="1"/>
  <c r="A31" i="1"/>
  <c r="A30" i="1"/>
  <c r="C23" i="1"/>
  <c r="E29" i="1" s="1"/>
  <c r="A27" i="1"/>
  <c r="A26" i="1"/>
  <c r="G17" i="1"/>
  <c r="C14" i="1"/>
  <c r="G13" i="1"/>
  <c r="H13" i="1"/>
  <c r="H40" i="1" l="1"/>
  <c r="I13" i="1"/>
  <c r="J13" i="1" s="1"/>
  <c r="K13" i="1" s="1"/>
  <c r="L13" i="1" s="1"/>
  <c r="G41" i="1"/>
  <c r="H17" i="1"/>
  <c r="G29" i="1"/>
  <c r="H41" i="1" l="1"/>
  <c r="I17" i="1"/>
  <c r="H29" i="1"/>
  <c r="C27" i="1"/>
  <c r="E35" i="1" s="1"/>
  <c r="F35" i="1" s="1"/>
  <c r="I40" i="1"/>
  <c r="C26" i="1"/>
  <c r="E30" i="1" s="1"/>
  <c r="F30" i="1" s="1"/>
  <c r="F31" i="1" l="1"/>
  <c r="J40" i="1"/>
  <c r="I41" i="1"/>
  <c r="J17" i="1"/>
  <c r="I29" i="1"/>
  <c r="J29" i="1" l="1"/>
  <c r="K17" i="1"/>
  <c r="J41" i="1"/>
  <c r="K40" i="1"/>
  <c r="F44" i="1"/>
  <c r="F33" i="1"/>
  <c r="G30" i="1"/>
  <c r="L40" i="1" l="1"/>
  <c r="L17" i="1"/>
  <c r="K41" i="1"/>
  <c r="K29" i="1"/>
  <c r="G31" i="1"/>
  <c r="H30" i="1" s="1"/>
  <c r="F36" i="1"/>
  <c r="F38" i="1"/>
  <c r="I30" i="1" l="1"/>
  <c r="H31" i="1"/>
  <c r="G44" i="1"/>
  <c r="G33" i="1"/>
  <c r="L41" i="1"/>
  <c r="L29" i="1"/>
  <c r="M17" i="1"/>
  <c r="G35" i="1"/>
  <c r="F52" i="1"/>
  <c r="F48" i="1"/>
  <c r="M40" i="1"/>
  <c r="I31" i="1" l="1"/>
  <c r="J30" i="1" s="1"/>
  <c r="G36" i="1"/>
  <c r="N40" i="1"/>
  <c r="M41" i="1"/>
  <c r="M29" i="1"/>
  <c r="N17" i="1"/>
  <c r="H44" i="1"/>
  <c r="H33" i="1"/>
  <c r="J31" i="1" l="1"/>
  <c r="G48" i="1"/>
  <c r="H35" i="1"/>
  <c r="O40" i="1"/>
  <c r="P40" i="1" s="1"/>
  <c r="Q40" i="1" s="1"/>
  <c r="R40" i="1" s="1"/>
  <c r="S40" i="1" s="1"/>
  <c r="T40" i="1" s="1"/>
  <c r="U40" i="1" s="1"/>
  <c r="V40" i="1" s="1"/>
  <c r="W40" i="1" s="1"/>
  <c r="X40" i="1" s="1"/>
  <c r="Y40" i="1" s="1"/>
  <c r="Z40" i="1" s="1"/>
  <c r="AA40" i="1" s="1"/>
  <c r="AB40" i="1" s="1"/>
  <c r="N41" i="1"/>
  <c r="N29" i="1"/>
  <c r="O17" i="1"/>
  <c r="G38" i="1"/>
  <c r="I33" i="1"/>
  <c r="I44" i="1"/>
  <c r="O29" i="1" l="1"/>
  <c r="O41" i="1"/>
  <c r="P17" i="1"/>
  <c r="G52" i="1"/>
  <c r="H36" i="1"/>
  <c r="J44" i="1"/>
  <c r="J33" i="1"/>
  <c r="K30" i="1"/>
  <c r="P41" i="1" l="1"/>
  <c r="Q17" i="1"/>
  <c r="P29" i="1"/>
  <c r="K31" i="1"/>
  <c r="H52" i="1"/>
  <c r="H48" i="1"/>
  <c r="H38" i="1"/>
  <c r="I35" i="1"/>
  <c r="I36" i="1" l="1"/>
  <c r="Q29" i="1"/>
  <c r="Q41" i="1"/>
  <c r="R17" i="1"/>
  <c r="K44" i="1"/>
  <c r="K33" i="1"/>
  <c r="L30" i="1"/>
  <c r="S17" i="1" l="1"/>
  <c r="R29" i="1"/>
  <c r="R41" i="1"/>
  <c r="L31" i="1"/>
  <c r="M30" i="1" s="1"/>
  <c r="I48" i="1"/>
  <c r="I38" i="1"/>
  <c r="I52" i="1" s="1"/>
  <c r="J35" i="1"/>
  <c r="M31" i="1" l="1"/>
  <c r="N30" i="1"/>
  <c r="L44" i="1"/>
  <c r="L33" i="1"/>
  <c r="K35" i="1"/>
  <c r="J36" i="1"/>
  <c r="T17" i="1"/>
  <c r="S41" i="1"/>
  <c r="S29" i="1"/>
  <c r="N31" i="1" l="1"/>
  <c r="K36" i="1"/>
  <c r="T41" i="1"/>
  <c r="U17" i="1"/>
  <c r="T29" i="1"/>
  <c r="J48" i="1"/>
  <c r="J38" i="1"/>
  <c r="J52" i="1" s="1"/>
  <c r="M44" i="1"/>
  <c r="M33" i="1"/>
  <c r="K48" i="1" l="1"/>
  <c r="K38" i="1"/>
  <c r="K52" i="1" s="1"/>
  <c r="L35" i="1"/>
  <c r="N44" i="1"/>
  <c r="N33" i="1"/>
  <c r="U41" i="1"/>
  <c r="U29" i="1"/>
  <c r="V17" i="1"/>
  <c r="O30" i="1"/>
  <c r="L36" i="1" l="1"/>
  <c r="O31" i="1"/>
  <c r="V41" i="1"/>
  <c r="V29" i="1"/>
  <c r="W17" i="1"/>
  <c r="O44" i="1" l="1"/>
  <c r="O33" i="1"/>
  <c r="L48" i="1"/>
  <c r="L38" i="1"/>
  <c r="L52" i="1" s="1"/>
  <c r="P30" i="1"/>
  <c r="W41" i="1"/>
  <c r="X17" i="1"/>
  <c r="W29" i="1"/>
  <c r="M35" i="1"/>
  <c r="P31" i="1" l="1"/>
  <c r="M36" i="1"/>
  <c r="X29" i="1"/>
  <c r="X41" i="1"/>
  <c r="Y17" i="1"/>
  <c r="P44" i="1" l="1"/>
  <c r="P33" i="1"/>
  <c r="M48" i="1"/>
  <c r="M38" i="1"/>
  <c r="M52" i="1" s="1"/>
  <c r="N35" i="1"/>
  <c r="Z17" i="1"/>
  <c r="Y41" i="1"/>
  <c r="Y29" i="1"/>
  <c r="Q30" i="1"/>
  <c r="N36" i="1" l="1"/>
  <c r="Q31" i="1"/>
  <c r="R30" i="1" s="1"/>
  <c r="Z29" i="1"/>
  <c r="AA17" i="1"/>
  <c r="Z41" i="1"/>
  <c r="R31" i="1" l="1"/>
  <c r="Q33" i="1"/>
  <c r="Q44" i="1"/>
  <c r="AA41" i="1"/>
  <c r="AB17" i="1"/>
  <c r="AA29" i="1"/>
  <c r="N48" i="1"/>
  <c r="N38" i="1"/>
  <c r="N52" i="1" s="1"/>
  <c r="O35" i="1"/>
  <c r="AB41" i="1" l="1"/>
  <c r="AB29" i="1"/>
  <c r="O36" i="1"/>
  <c r="R44" i="1"/>
  <c r="R33" i="1"/>
  <c r="S30" i="1"/>
  <c r="S31" i="1" l="1"/>
  <c r="T30" i="1"/>
  <c r="O48" i="1"/>
  <c r="O38" i="1"/>
  <c r="O52" i="1" s="1"/>
  <c r="P35" i="1"/>
  <c r="P36" i="1" l="1"/>
  <c r="T31" i="1"/>
  <c r="S44" i="1"/>
  <c r="S33" i="1"/>
  <c r="T44" i="1" l="1"/>
  <c r="T33" i="1"/>
  <c r="P52" i="1"/>
  <c r="P48" i="1"/>
  <c r="P38" i="1"/>
  <c r="U30" i="1"/>
  <c r="Q35" i="1"/>
  <c r="Q36" i="1" l="1"/>
  <c r="U31" i="1"/>
  <c r="Q48" i="1" l="1"/>
  <c r="Q38" i="1"/>
  <c r="Q52" i="1" s="1"/>
  <c r="U44" i="1"/>
  <c r="U33" i="1"/>
  <c r="V30" i="1"/>
  <c r="R35" i="1"/>
  <c r="R36" i="1" l="1"/>
  <c r="V31" i="1"/>
  <c r="W30" i="1" s="1"/>
  <c r="W31" i="1" l="1"/>
  <c r="V44" i="1"/>
  <c r="V33" i="1"/>
  <c r="R48" i="1"/>
  <c r="R52" i="1"/>
  <c r="R38" i="1"/>
  <c r="S35" i="1"/>
  <c r="S36" i="1" l="1"/>
  <c r="T35" i="1" s="1"/>
  <c r="W44" i="1"/>
  <c r="W33" i="1"/>
  <c r="X30" i="1"/>
  <c r="T36" i="1" l="1"/>
  <c r="U35" i="1" s="1"/>
  <c r="X31" i="1"/>
  <c r="S48" i="1"/>
  <c r="S38" i="1"/>
  <c r="S52" i="1" s="1"/>
  <c r="V35" i="1" l="1"/>
  <c r="U36" i="1"/>
  <c r="X44" i="1"/>
  <c r="X33" i="1"/>
  <c r="Y30" i="1"/>
  <c r="T48" i="1"/>
  <c r="T38" i="1"/>
  <c r="T52" i="1" s="1"/>
  <c r="W35" i="1" l="1"/>
  <c r="V36" i="1"/>
  <c r="Y31" i="1"/>
  <c r="Z30" i="1" s="1"/>
  <c r="U48" i="1"/>
  <c r="U38" i="1"/>
  <c r="U52" i="1" s="1"/>
  <c r="Z31" i="1" l="1"/>
  <c r="W36" i="1"/>
  <c r="Y33" i="1"/>
  <c r="Y44" i="1"/>
  <c r="V48" i="1"/>
  <c r="V38" i="1"/>
  <c r="V52" i="1" s="1"/>
  <c r="W48" i="1" l="1"/>
  <c r="W38" i="1"/>
  <c r="W52" i="1" s="1"/>
  <c r="Z33" i="1"/>
  <c r="Z44" i="1"/>
  <c r="X35" i="1"/>
  <c r="AA30" i="1"/>
  <c r="AA31" i="1" l="1"/>
  <c r="AB30" i="1"/>
  <c r="AB31" i="1" s="1"/>
  <c r="X36" i="1"/>
  <c r="X52" i="1" l="1"/>
  <c r="X48" i="1"/>
  <c r="X38" i="1"/>
  <c r="Y35" i="1"/>
  <c r="AB44" i="1"/>
  <c r="C45" i="1" s="1"/>
  <c r="AB33" i="1"/>
  <c r="C31" i="1"/>
  <c r="AA33" i="1"/>
  <c r="AA44" i="1"/>
  <c r="Y36" i="1" l="1"/>
  <c r="Z35" i="1" s="1"/>
  <c r="AA35" i="1" l="1"/>
  <c r="Z36" i="1"/>
  <c r="Y48" i="1"/>
  <c r="Y38" i="1"/>
  <c r="Y52" i="1" s="1"/>
  <c r="AA36" i="1" l="1"/>
  <c r="Z48" i="1"/>
  <c r="Z38" i="1"/>
  <c r="Z52" i="1" s="1"/>
  <c r="AA48" i="1" l="1"/>
  <c r="AA38" i="1"/>
  <c r="AA52" i="1" s="1"/>
  <c r="AB35" i="1"/>
  <c r="AB36" i="1" s="1"/>
  <c r="C36" i="1" l="1"/>
  <c r="AB48" i="1"/>
  <c r="C49" i="1" s="1"/>
  <c r="AB38" i="1"/>
  <c r="C38" i="1" s="1"/>
  <c r="AB52" i="1" l="1"/>
  <c r="C53" i="1" s="1"/>
</calcChain>
</file>

<file path=xl/sharedStrings.xml><?xml version="1.0" encoding="utf-8"?>
<sst xmlns="http://schemas.openxmlformats.org/spreadsheetml/2006/main" count="30" uniqueCount="30">
  <si>
    <t>Target 1</t>
  </si>
  <si>
    <t>Target 2</t>
  </si>
  <si>
    <t>Target 3</t>
  </si>
  <si>
    <t>IRR limit</t>
  </si>
  <si>
    <t>Equity as paid by investors</t>
  </si>
  <si>
    <t>n/a</t>
  </si>
  <si>
    <t>Free cash flow to investors (at end period)</t>
  </si>
  <si>
    <t>Dates of equity investment</t>
  </si>
  <si>
    <t>Illustration of methodology for equity return waterfall calculation</t>
  </si>
  <si>
    <t>Dates of free cash flows</t>
  </si>
  <si>
    <t>To calculate the cash to investors required at any given date in order to achieve a given IRR, remember that the NPV of cash flows discounted at the IRR equal zero, or alternatively,  discounting at the IRR%, the NPV of the equity input = the NPV of the returns to investors.</t>
  </si>
  <si>
    <t>Choose a convenient base date for the NPV calulations</t>
  </si>
  <si>
    <t>Caluclation base date</t>
  </si>
  <si>
    <t>Calculate NPV of investment at the two IRR rates at the base date</t>
  </si>
  <si>
    <t>Remaining share of free cash</t>
  </si>
  <si>
    <t>Remaining free cash to investors</t>
  </si>
  <si>
    <t xml:space="preserve">Dates for IRR calc </t>
  </si>
  <si>
    <t>Equity for 1st XIRR calc</t>
  </si>
  <si>
    <t>Cash to investors for 1st XIRRcalc</t>
  </si>
  <si>
    <t>First XIRR cross check</t>
  </si>
  <si>
    <t>Equity for 2nd XIRR calc</t>
  </si>
  <si>
    <t>Cash to investors for 2nd XIRRcalc</t>
  </si>
  <si>
    <t>Equity for TOTAL XIRR calc</t>
  </si>
  <si>
    <t>Cash to investors for TOTAL XIRRcalc</t>
  </si>
  <si>
    <t xml:space="preserve">Final XIRR </t>
  </si>
  <si>
    <t>2nd XIRR cross check</t>
  </si>
  <si>
    <t>Note: for convenience of simple illustration, this spreadsheet does not conform to some elements of basic good practice for cash flow modelling, especially with regard to layout of timelines etc!!</t>
  </si>
  <si>
    <t>% share of free cash</t>
  </si>
  <si>
    <t>Inputs</t>
  </si>
  <si>
    <t>Prepared by Penelope Lynch to illustrate calculation principals for this question only!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</si>
</sst>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_-* #,##0.00_-;\-* #,##0.00_-;_-* &quot;-&quot;??_-;_-@_-"/>
    <numFmt numFmtId="177" formatCode="_-* #,##0_-;\-* #,##0_-;_-* &quot;-&quot;??_-;_-@_-"/>
    <numFmt numFmtId="178" formatCode="0.0"/>
  </numFmts>
  <fonts count="8" x14ac:knownFonts="1">
    <font>
      <sz val="10"/>
      <name val="Times New Roman"/>
    </font>
    <font>
      <sz val="10"/>
      <name val="Times New Roman"/>
      <family val="1"/>
    </font>
    <font>
      <b/>
      <sz val="10"/>
      <name val="Times New Roman"/>
      <family val="1"/>
    </font>
    <font>
      <b/>
      <sz val="10"/>
      <color indexed="12"/>
      <name val="Times New Roman"/>
      <family val="1"/>
    </font>
    <font>
      <u/>
      <sz val="10"/>
      <name val="Times New Roman"/>
      <family val="1"/>
    </font>
    <font>
      <b/>
      <u/>
      <sz val="10"/>
      <name val="Times New Roman"/>
      <family val="1"/>
    </font>
    <font>
      <sz val="10"/>
      <name val="Times New Roman"/>
      <family val="1"/>
    </font>
    <font>
      <sz val="10"/>
      <color indexed="14"/>
      <name val="Times New Roman"/>
      <family val="1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176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2">
    <xf numFmtId="0" fontId="0" fillId="0" borderId="0" xfId="0"/>
    <xf numFmtId="0" fontId="0" fillId="0" borderId="0" xfId="0" applyAlignment="1">
      <alignment horizontal="center"/>
    </xf>
    <xf numFmtId="0" fontId="0" fillId="0" borderId="0" xfId="0" quotePrefix="1" applyAlignment="1">
      <alignment horizontal="left"/>
    </xf>
    <xf numFmtId="0" fontId="5" fillId="0" borderId="0" xfId="0" applyFont="1"/>
    <xf numFmtId="0" fontId="5" fillId="0" borderId="0" xfId="0" quotePrefix="1" applyFont="1" applyAlignment="1">
      <alignment horizontal="left"/>
    </xf>
    <xf numFmtId="14" fontId="0" fillId="0" borderId="0" xfId="0" applyNumberFormat="1"/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2" xfId="0" applyBorder="1"/>
    <xf numFmtId="14" fontId="0" fillId="0" borderId="2" xfId="0" applyNumberFormat="1" applyBorder="1"/>
    <xf numFmtId="0" fontId="0" fillId="0" borderId="3" xfId="0" applyBorder="1"/>
    <xf numFmtId="14" fontId="0" fillId="0" borderId="4" xfId="0" applyNumberFormat="1" applyBorder="1"/>
    <xf numFmtId="14" fontId="0" fillId="0" borderId="0" xfId="0" applyNumberFormat="1" applyBorder="1"/>
    <xf numFmtId="0" fontId="7" fillId="0" borderId="0" xfId="0" quotePrefix="1" applyFont="1" applyAlignment="1">
      <alignment horizontal="left"/>
    </xf>
    <xf numFmtId="177" fontId="0" fillId="0" borderId="4" xfId="0" applyNumberFormat="1" applyBorder="1"/>
    <xf numFmtId="2" fontId="0" fillId="0" borderId="0" xfId="0" applyNumberFormat="1"/>
    <xf numFmtId="178" fontId="0" fillId="0" borderId="0" xfId="0" applyNumberFormat="1"/>
    <xf numFmtId="177" fontId="0" fillId="0" borderId="0" xfId="0" applyNumberFormat="1" applyBorder="1"/>
    <xf numFmtId="0" fontId="0" fillId="0" borderId="5" xfId="0" applyBorder="1"/>
    <xf numFmtId="0" fontId="0" fillId="0" borderId="6" xfId="0" applyBorder="1"/>
    <xf numFmtId="14" fontId="0" fillId="0" borderId="6" xfId="0" applyNumberFormat="1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/>
    <xf numFmtId="0" fontId="0" fillId="0" borderId="10" xfId="0" applyBorder="1"/>
    <xf numFmtId="14" fontId="0" fillId="0" borderId="10" xfId="0" applyNumberFormat="1" applyBorder="1"/>
    <xf numFmtId="14" fontId="0" fillId="0" borderId="11" xfId="0" applyNumberFormat="1" applyBorder="1"/>
    <xf numFmtId="178" fontId="0" fillId="0" borderId="11" xfId="0" applyNumberFormat="1" applyBorder="1"/>
    <xf numFmtId="0" fontId="0" fillId="0" borderId="12" xfId="0" applyBorder="1"/>
    <xf numFmtId="0" fontId="0" fillId="0" borderId="0" xfId="0" applyBorder="1"/>
    <xf numFmtId="0" fontId="2" fillId="0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9" fontId="2" fillId="0" borderId="14" xfId="2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0" fillId="0" borderId="9" xfId="0" quotePrefix="1" applyBorder="1" applyAlignment="1">
      <alignment horizontal="left"/>
    </xf>
    <xf numFmtId="0" fontId="0" fillId="0" borderId="12" xfId="0" quotePrefix="1" applyBorder="1" applyAlignment="1">
      <alignment horizontal="left"/>
    </xf>
    <xf numFmtId="0" fontId="2" fillId="0" borderId="13" xfId="0" quotePrefix="1" applyFont="1" applyFill="1" applyBorder="1" applyAlignment="1">
      <alignment horizontal="center"/>
    </xf>
    <xf numFmtId="0" fontId="6" fillId="0" borderId="0" xfId="0" quotePrefix="1" applyFont="1" applyAlignment="1">
      <alignment horizontal="left"/>
    </xf>
    <xf numFmtId="0" fontId="0" fillId="0" borderId="16" xfId="0" applyBorder="1"/>
    <xf numFmtId="9" fontId="3" fillId="0" borderId="0" xfId="2" applyFont="1" applyBorder="1"/>
    <xf numFmtId="9" fontId="3" fillId="0" borderId="8" xfId="2" applyFont="1" applyBorder="1"/>
    <xf numFmtId="9" fontId="3" fillId="0" borderId="17" xfId="2" applyFont="1" applyBorder="1"/>
    <xf numFmtId="9" fontId="3" fillId="0" borderId="18" xfId="2" applyFont="1" applyBorder="1"/>
    <xf numFmtId="9" fontId="3" fillId="0" borderId="19" xfId="2" applyFont="1" applyBorder="1"/>
    <xf numFmtId="9" fontId="2" fillId="0" borderId="20" xfId="2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/>
    <xf numFmtId="0" fontId="4" fillId="0" borderId="23" xfId="0" quotePrefix="1" applyFont="1" applyBorder="1" applyAlignment="1">
      <alignment horizontal="center" wrapText="1"/>
    </xf>
    <xf numFmtId="0" fontId="4" fillId="0" borderId="24" xfId="0" quotePrefix="1" applyFont="1" applyBorder="1" applyAlignment="1">
      <alignment horizontal="center" wrapText="1"/>
    </xf>
    <xf numFmtId="0" fontId="0" fillId="0" borderId="1" xfId="0" quotePrefix="1" applyBorder="1" applyAlignment="1">
      <alignment horizontal="left"/>
    </xf>
    <xf numFmtId="177" fontId="0" fillId="0" borderId="2" xfId="1" applyNumberFormat="1" applyFont="1" applyBorder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Sheet1!$F$43:$P$43</c:f>
              <c:numCache>
                <c:formatCode>General</c:formatCode>
                <c:ptCount val="11"/>
                <c:pt idx="0">
                  <c:v>-15</c:v>
                </c:pt>
                <c:pt idx="1">
                  <c:v>-50</c:v>
                </c:pt>
                <c:pt idx="2">
                  <c:v>-12</c:v>
                </c:pt>
                <c:pt idx="3">
                  <c:v>-32</c:v>
                </c:pt>
                <c:pt idx="4">
                  <c:v>-18</c:v>
                </c:pt>
                <c:pt idx="5">
                  <c:v>-90</c:v>
                </c:pt>
                <c:pt idx="6">
                  <c:v>-100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xVal>
          <c:yVal>
            <c:numRef>
              <c:f>Sheet1!$F$44:$P$44</c:f>
              <c:numCache>
                <c:formatCode>0.0</c:formatCode>
                <c:ptCount val="11"/>
                <c:pt idx="0">
                  <c:v>20</c:v>
                </c:pt>
                <c:pt idx="1">
                  <c:v>40</c:v>
                </c:pt>
                <c:pt idx="2">
                  <c:v>48</c:v>
                </c:pt>
                <c:pt idx="3">
                  <c:v>56</c:v>
                </c:pt>
                <c:pt idx="4">
                  <c:v>64</c:v>
                </c:pt>
                <c:pt idx="5">
                  <c:v>32</c:v>
                </c:pt>
                <c:pt idx="6">
                  <c:v>80</c:v>
                </c:pt>
                <c:pt idx="7">
                  <c:v>59.066485696590256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6709024"/>
        <c:axId val="706710592"/>
      </c:scatterChart>
      <c:valAx>
        <c:axId val="706709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06710592"/>
        <c:crosses val="autoZero"/>
        <c:crossBetween val="midCat"/>
      </c:valAx>
      <c:valAx>
        <c:axId val="70671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06709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654843</xdr:colOff>
      <xdr:row>54</xdr:row>
      <xdr:rowOff>2380</xdr:rowOff>
    </xdr:from>
    <xdr:to>
      <xdr:col>9</xdr:col>
      <xdr:colOff>83343</xdr:colOff>
      <xdr:row>70</xdr:row>
      <xdr:rowOff>78580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53"/>
  <sheetViews>
    <sheetView tabSelected="1" topLeftCell="A28" workbookViewId="0">
      <selection activeCell="K62" sqref="K62"/>
    </sheetView>
  </sheetViews>
  <sheetFormatPr defaultColWidth="12.85546875" defaultRowHeight="13.15" x14ac:dyDescent="0.4"/>
  <cols>
    <col min="1" max="1" width="47" customWidth="1"/>
    <col min="2" max="2" width="2.5" customWidth="1"/>
    <col min="4" max="4" width="2.35546875" customWidth="1"/>
    <col min="6" max="6" width="10.5" bestFit="1" customWidth="1"/>
  </cols>
  <sheetData>
    <row r="1" spans="1:12" x14ac:dyDescent="0.4">
      <c r="A1" s="4" t="s">
        <v>8</v>
      </c>
    </row>
    <row r="2" spans="1:12" x14ac:dyDescent="0.4">
      <c r="A2" s="3"/>
    </row>
    <row r="3" spans="1:12" x14ac:dyDescent="0.4">
      <c r="A3" s="38" t="s">
        <v>26</v>
      </c>
    </row>
    <row r="4" spans="1:12" x14ac:dyDescent="0.4">
      <c r="A4" s="38" t="s">
        <v>29</v>
      </c>
    </row>
    <row r="5" spans="1:12" ht="13.5" thickBot="1" x14ac:dyDescent="0.45"/>
    <row r="6" spans="1:12" ht="26.25" x14ac:dyDescent="0.4">
      <c r="A6" s="46" t="s">
        <v>28</v>
      </c>
      <c r="B6" s="47"/>
      <c r="C6" s="48" t="s">
        <v>27</v>
      </c>
      <c r="D6" s="47"/>
      <c r="E6" s="49" t="s">
        <v>3</v>
      </c>
    </row>
    <row r="7" spans="1:12" x14ac:dyDescent="0.4">
      <c r="A7" s="39" t="s">
        <v>0</v>
      </c>
      <c r="B7" s="30"/>
      <c r="C7" s="42">
        <v>0.8</v>
      </c>
      <c r="D7" s="40"/>
      <c r="E7" s="44">
        <v>0.15</v>
      </c>
    </row>
    <row r="8" spans="1:12" x14ac:dyDescent="0.4">
      <c r="A8" s="39" t="s">
        <v>1</v>
      </c>
      <c r="B8" s="30"/>
      <c r="C8" s="42">
        <v>0.6</v>
      </c>
      <c r="D8" s="40"/>
      <c r="E8" s="44">
        <v>0.25</v>
      </c>
    </row>
    <row r="9" spans="1:12" ht="13.5" thickBot="1" x14ac:dyDescent="0.45">
      <c r="A9" s="21" t="s">
        <v>2</v>
      </c>
      <c r="B9" s="22"/>
      <c r="C9" s="43">
        <v>0.4</v>
      </c>
      <c r="D9" s="41"/>
      <c r="E9" s="45" t="s">
        <v>5</v>
      </c>
    </row>
    <row r="13" spans="1:12" x14ac:dyDescent="0.4">
      <c r="A13" t="s">
        <v>7</v>
      </c>
      <c r="F13" s="5">
        <v>40909</v>
      </c>
      <c r="G13" s="5">
        <f>F13+38</f>
        <v>40947</v>
      </c>
      <c r="H13" s="5">
        <f>G13+45</f>
        <v>40992</v>
      </c>
      <c r="I13" s="5">
        <f>H13+12</f>
        <v>41004</v>
      </c>
      <c r="J13" s="5">
        <f>I13+138</f>
        <v>41142</v>
      </c>
      <c r="K13" s="5">
        <f>J13+38</f>
        <v>41180</v>
      </c>
      <c r="L13" s="5">
        <f>K13+96</f>
        <v>41276</v>
      </c>
    </row>
    <row r="14" spans="1:12" x14ac:dyDescent="0.4">
      <c r="A14" s="2" t="s">
        <v>4</v>
      </c>
      <c r="C14" s="1">
        <f>SUM(F14:P14)</f>
        <v>317</v>
      </c>
      <c r="F14">
        <v>15</v>
      </c>
      <c r="G14">
        <v>50</v>
      </c>
      <c r="H14">
        <v>12</v>
      </c>
      <c r="I14">
        <v>32</v>
      </c>
      <c r="J14">
        <v>18</v>
      </c>
      <c r="K14">
        <v>90</v>
      </c>
      <c r="L14">
        <v>100</v>
      </c>
    </row>
    <row r="15" spans="1:12" x14ac:dyDescent="0.4">
      <c r="A15" s="2"/>
      <c r="C15" s="1"/>
    </row>
    <row r="16" spans="1:12" x14ac:dyDescent="0.4">
      <c r="A16" s="2"/>
      <c r="C16" s="1"/>
    </row>
    <row r="17" spans="1:28" x14ac:dyDescent="0.4">
      <c r="A17" s="2" t="s">
        <v>9</v>
      </c>
      <c r="F17" s="5">
        <v>41336</v>
      </c>
      <c r="G17" s="5">
        <f>F17+100</f>
        <v>41436</v>
      </c>
      <c r="H17" s="5">
        <f t="shared" ref="H17:AB17" si="0">G17+100</f>
        <v>41536</v>
      </c>
      <c r="I17" s="5">
        <f t="shared" si="0"/>
        <v>41636</v>
      </c>
      <c r="J17" s="5">
        <f t="shared" si="0"/>
        <v>41736</v>
      </c>
      <c r="K17" s="5">
        <f t="shared" si="0"/>
        <v>41836</v>
      </c>
      <c r="L17" s="5">
        <f t="shared" si="0"/>
        <v>41936</v>
      </c>
      <c r="M17" s="5">
        <f t="shared" si="0"/>
        <v>42036</v>
      </c>
      <c r="N17" s="5">
        <f t="shared" si="0"/>
        <v>42136</v>
      </c>
      <c r="O17" s="5">
        <f t="shared" si="0"/>
        <v>42236</v>
      </c>
      <c r="P17" s="5">
        <f t="shared" si="0"/>
        <v>42336</v>
      </c>
      <c r="Q17" s="5">
        <f t="shared" si="0"/>
        <v>42436</v>
      </c>
      <c r="R17" s="5">
        <f t="shared" si="0"/>
        <v>42536</v>
      </c>
      <c r="S17" s="5">
        <f t="shared" si="0"/>
        <v>42636</v>
      </c>
      <c r="T17" s="5">
        <f t="shared" si="0"/>
        <v>42736</v>
      </c>
      <c r="U17" s="5">
        <f t="shared" si="0"/>
        <v>42836</v>
      </c>
      <c r="V17" s="5">
        <f t="shared" si="0"/>
        <v>42936</v>
      </c>
      <c r="W17" s="5">
        <f t="shared" si="0"/>
        <v>43036</v>
      </c>
      <c r="X17" s="5">
        <f t="shared" si="0"/>
        <v>43136</v>
      </c>
      <c r="Y17" s="5">
        <f t="shared" si="0"/>
        <v>43236</v>
      </c>
      <c r="Z17" s="5">
        <f t="shared" si="0"/>
        <v>43336</v>
      </c>
      <c r="AA17" s="5">
        <f t="shared" si="0"/>
        <v>43436</v>
      </c>
      <c r="AB17" s="5">
        <f t="shared" si="0"/>
        <v>43536</v>
      </c>
    </row>
    <row r="18" spans="1:28" x14ac:dyDescent="0.4">
      <c r="A18" s="2" t="s">
        <v>6</v>
      </c>
      <c r="F18">
        <v>25</v>
      </c>
      <c r="G18">
        <v>50</v>
      </c>
      <c r="H18">
        <v>60</v>
      </c>
      <c r="I18">
        <v>70</v>
      </c>
      <c r="J18">
        <v>80</v>
      </c>
      <c r="K18">
        <v>40</v>
      </c>
      <c r="L18">
        <v>100</v>
      </c>
      <c r="M18">
        <v>110</v>
      </c>
      <c r="N18">
        <v>80</v>
      </c>
      <c r="O18">
        <v>90</v>
      </c>
      <c r="P18">
        <v>110</v>
      </c>
    </row>
    <row r="19" spans="1:28" x14ac:dyDescent="0.4">
      <c r="A19" s="2"/>
    </row>
    <row r="20" spans="1:28" x14ac:dyDescent="0.4">
      <c r="A20" s="6" t="s">
        <v>10</v>
      </c>
    </row>
    <row r="21" spans="1:28" x14ac:dyDescent="0.4">
      <c r="A21" s="2"/>
    </row>
    <row r="22" spans="1:28" x14ac:dyDescent="0.4">
      <c r="A22" s="2" t="s">
        <v>11</v>
      </c>
    </row>
    <row r="23" spans="1:28" x14ac:dyDescent="0.4">
      <c r="A23" s="7" t="s">
        <v>12</v>
      </c>
      <c r="B23" s="8"/>
      <c r="C23" s="9">
        <f>F13</f>
        <v>40909</v>
      </c>
      <c r="D23" s="10"/>
    </row>
    <row r="24" spans="1:28" x14ac:dyDescent="0.4">
      <c r="A24" s="2"/>
    </row>
    <row r="25" spans="1:28" x14ac:dyDescent="0.4">
      <c r="A25" s="2" t="s">
        <v>13</v>
      </c>
    </row>
    <row r="26" spans="1:28" x14ac:dyDescent="0.4">
      <c r="A26" s="50" t="str">
        <f>"NPVof investment at "&amp;TEXT($E$7,"##%")&amp;" p.a."</f>
        <v>NPVof investment at 15% p.a.</v>
      </c>
      <c r="B26" s="8"/>
      <c r="C26" s="51">
        <f>XNPV($E7,$F$14:$L$14,$F$13:$L$13)</f>
        <v>291.24187755026577</v>
      </c>
      <c r="D26" s="10"/>
    </row>
    <row r="27" spans="1:28" x14ac:dyDescent="0.4">
      <c r="A27" s="50" t="str">
        <f>"NPVof investment at "&amp;TEXT($E$8,"##%")&amp;" p.a."</f>
        <v>NPVof investment at 25% p.a.</v>
      </c>
      <c r="B27" s="8"/>
      <c r="C27" s="51">
        <f>XNPV($E8,$F$14:$L$14,$F$13:$L$13)</f>
        <v>277.22384042968878</v>
      </c>
      <c r="D27" s="10"/>
    </row>
    <row r="28" spans="1:28" x14ac:dyDescent="0.4">
      <c r="A28" s="2"/>
    </row>
    <row r="29" spans="1:28" x14ac:dyDescent="0.4">
      <c r="E29" s="11">
        <f>C23</f>
        <v>40909</v>
      </c>
      <c r="F29" s="11">
        <f>F17</f>
        <v>41336</v>
      </c>
      <c r="G29" s="11">
        <f t="shared" ref="G29:AB29" si="1">G17</f>
        <v>41436</v>
      </c>
      <c r="H29" s="11">
        <f t="shared" si="1"/>
        <v>41536</v>
      </c>
      <c r="I29" s="11">
        <f t="shared" si="1"/>
        <v>41636</v>
      </c>
      <c r="J29" s="11">
        <f t="shared" si="1"/>
        <v>41736</v>
      </c>
      <c r="K29" s="11">
        <f t="shared" si="1"/>
        <v>41836</v>
      </c>
      <c r="L29" s="11">
        <f t="shared" si="1"/>
        <v>41936</v>
      </c>
      <c r="M29" s="11">
        <f t="shared" si="1"/>
        <v>42036</v>
      </c>
      <c r="N29" s="11">
        <f t="shared" si="1"/>
        <v>42136</v>
      </c>
      <c r="O29" s="11">
        <f t="shared" si="1"/>
        <v>42236</v>
      </c>
      <c r="P29" s="11">
        <f t="shared" si="1"/>
        <v>42336</v>
      </c>
      <c r="Q29" s="11">
        <f t="shared" si="1"/>
        <v>42436</v>
      </c>
      <c r="R29" s="11">
        <f t="shared" si="1"/>
        <v>42536</v>
      </c>
      <c r="S29" s="11">
        <f t="shared" si="1"/>
        <v>42636</v>
      </c>
      <c r="T29" s="11">
        <f t="shared" si="1"/>
        <v>42736</v>
      </c>
      <c r="U29" s="11">
        <f t="shared" si="1"/>
        <v>42836</v>
      </c>
      <c r="V29" s="11">
        <f t="shared" si="1"/>
        <v>42936</v>
      </c>
      <c r="W29" s="11">
        <f t="shared" si="1"/>
        <v>43036</v>
      </c>
      <c r="X29" s="11">
        <f t="shared" si="1"/>
        <v>43136</v>
      </c>
      <c r="Y29" s="11">
        <f t="shared" si="1"/>
        <v>43236</v>
      </c>
      <c r="Z29" s="11">
        <f t="shared" si="1"/>
        <v>43336</v>
      </c>
      <c r="AA29" s="11">
        <f t="shared" si="1"/>
        <v>43436</v>
      </c>
      <c r="AB29" s="11">
        <f t="shared" si="1"/>
        <v>43536</v>
      </c>
    </row>
    <row r="30" spans="1:28" x14ac:dyDescent="0.4">
      <c r="A30" t="str">
        <f>"Cash required to give target "&amp;TEXT($E$7,"##%")&amp;" IRR at given date"</f>
        <v>Cash required to give target 15% IRR at given date</v>
      </c>
      <c r="E30" s="14">
        <f>C26</f>
        <v>291.24187755026577</v>
      </c>
      <c r="F30" s="16">
        <f>(E30-E31)*(1+$E$7)^(1/365)^(F$29-E$29)</f>
        <v>342.97461763342278</v>
      </c>
      <c r="G30" s="16">
        <f t="shared" ref="G30:AB30" si="2">(F30-F31)*(1+$E$7)^(1/365)^(G29-F29)</f>
        <v>335.58144367212884</v>
      </c>
      <c r="H30" s="16">
        <f t="shared" si="2"/>
        <v>307.11901856872191</v>
      </c>
      <c r="I30" s="16">
        <f t="shared" si="2"/>
        <v>269.23333781260692</v>
      </c>
      <c r="J30" s="16">
        <f t="shared" si="2"/>
        <v>221.55657886217847</v>
      </c>
      <c r="K30" s="16">
        <f t="shared" si="2"/>
        <v>163.70656177886576</v>
      </c>
      <c r="L30" s="16">
        <f t="shared" si="2"/>
        <v>136.84752834976459</v>
      </c>
      <c r="M30" s="16">
        <f t="shared" si="2"/>
        <v>59.066485696590256</v>
      </c>
      <c r="N30" s="16">
        <f t="shared" si="2"/>
        <v>0</v>
      </c>
      <c r="O30" s="16">
        <f t="shared" si="2"/>
        <v>0</v>
      </c>
      <c r="P30" s="16">
        <f t="shared" si="2"/>
        <v>0</v>
      </c>
      <c r="Q30" s="16">
        <f t="shared" si="2"/>
        <v>0</v>
      </c>
      <c r="R30" s="16">
        <f t="shared" si="2"/>
        <v>0</v>
      </c>
      <c r="S30" s="16">
        <f t="shared" si="2"/>
        <v>0</v>
      </c>
      <c r="T30" s="16">
        <f t="shared" si="2"/>
        <v>0</v>
      </c>
      <c r="U30" s="16">
        <f t="shared" si="2"/>
        <v>0</v>
      </c>
      <c r="V30" s="16">
        <f t="shared" si="2"/>
        <v>0</v>
      </c>
      <c r="W30" s="16">
        <f t="shared" si="2"/>
        <v>0</v>
      </c>
      <c r="X30" s="16">
        <f t="shared" si="2"/>
        <v>0</v>
      </c>
      <c r="Y30" s="16">
        <f t="shared" si="2"/>
        <v>0</v>
      </c>
      <c r="Z30" s="16">
        <f t="shared" si="2"/>
        <v>0</v>
      </c>
      <c r="AA30" s="16">
        <f t="shared" si="2"/>
        <v>0</v>
      </c>
      <c r="AB30" s="16">
        <f t="shared" si="2"/>
        <v>0</v>
      </c>
    </row>
    <row r="31" spans="1:28" x14ac:dyDescent="0.4">
      <c r="A31" t="str">
        <f>"Cash utilised toward "&amp;TEXT($E$7,"##%")&amp;" IRR"</f>
        <v>Cash utilised toward 15% IRR</v>
      </c>
      <c r="C31" s="15">
        <f>SUM(F31:AB31)</f>
        <v>399.06648569659023</v>
      </c>
      <c r="E31" s="12"/>
      <c r="F31" s="16">
        <f>MIN(F18*$C$7,F30)</f>
        <v>20</v>
      </c>
      <c r="G31" s="16">
        <f t="shared" ref="G31:AB31" si="3">MIN(G18*$C$7,G30)</f>
        <v>40</v>
      </c>
      <c r="H31" s="16">
        <f t="shared" si="3"/>
        <v>48</v>
      </c>
      <c r="I31" s="16">
        <f t="shared" si="3"/>
        <v>56</v>
      </c>
      <c r="J31" s="16">
        <f t="shared" si="3"/>
        <v>64</v>
      </c>
      <c r="K31" s="16">
        <f t="shared" si="3"/>
        <v>32</v>
      </c>
      <c r="L31" s="16">
        <f t="shared" si="3"/>
        <v>80</v>
      </c>
      <c r="M31" s="16">
        <f t="shared" si="3"/>
        <v>59.066485696590256</v>
      </c>
      <c r="N31" s="16">
        <f t="shared" si="3"/>
        <v>0</v>
      </c>
      <c r="O31" s="16">
        <f t="shared" si="3"/>
        <v>0</v>
      </c>
      <c r="P31" s="16">
        <f t="shared" si="3"/>
        <v>0</v>
      </c>
      <c r="Q31" s="16">
        <f t="shared" si="3"/>
        <v>0</v>
      </c>
      <c r="R31" s="16">
        <f t="shared" si="3"/>
        <v>0</v>
      </c>
      <c r="S31" s="16">
        <f t="shared" si="3"/>
        <v>0</v>
      </c>
      <c r="T31" s="16">
        <f t="shared" si="3"/>
        <v>0</v>
      </c>
      <c r="U31" s="16">
        <f t="shared" si="3"/>
        <v>0</v>
      </c>
      <c r="V31" s="16">
        <f t="shared" si="3"/>
        <v>0</v>
      </c>
      <c r="W31" s="16">
        <f t="shared" si="3"/>
        <v>0</v>
      </c>
      <c r="X31" s="16">
        <f t="shared" si="3"/>
        <v>0</v>
      </c>
      <c r="Y31" s="16">
        <f t="shared" si="3"/>
        <v>0</v>
      </c>
      <c r="Z31" s="16">
        <f t="shared" si="3"/>
        <v>0</v>
      </c>
      <c r="AA31" s="16">
        <f t="shared" si="3"/>
        <v>0</v>
      </c>
      <c r="AB31" s="16">
        <f t="shared" si="3"/>
        <v>0</v>
      </c>
    </row>
    <row r="32" spans="1:28" x14ac:dyDescent="0.4">
      <c r="A32" s="2"/>
      <c r="E32" s="12"/>
    </row>
    <row r="33" spans="1:28" x14ac:dyDescent="0.4">
      <c r="A33" s="2" t="s">
        <v>14</v>
      </c>
      <c r="E33" s="12"/>
      <c r="F33" s="16">
        <f>F18-F31/$C$7</f>
        <v>0</v>
      </c>
      <c r="G33" s="16">
        <f t="shared" ref="G33:AB33" si="4">G18-G31/$C$7</f>
        <v>0</v>
      </c>
      <c r="H33" s="16">
        <f t="shared" si="4"/>
        <v>0</v>
      </c>
      <c r="I33" s="16">
        <f t="shared" si="4"/>
        <v>0</v>
      </c>
      <c r="J33" s="16">
        <f t="shared" si="4"/>
        <v>0</v>
      </c>
      <c r="K33" s="16">
        <f t="shared" si="4"/>
        <v>0</v>
      </c>
      <c r="L33" s="16">
        <f t="shared" si="4"/>
        <v>0</v>
      </c>
      <c r="M33" s="16">
        <f t="shared" si="4"/>
        <v>36.166892879262178</v>
      </c>
      <c r="N33" s="16">
        <f t="shared" si="4"/>
        <v>80</v>
      </c>
      <c r="O33" s="16">
        <f t="shared" si="4"/>
        <v>90</v>
      </c>
      <c r="P33" s="16">
        <f t="shared" si="4"/>
        <v>110</v>
      </c>
      <c r="Q33" s="16">
        <f t="shared" si="4"/>
        <v>0</v>
      </c>
      <c r="R33" s="16">
        <f t="shared" si="4"/>
        <v>0</v>
      </c>
      <c r="S33" s="16">
        <f t="shared" si="4"/>
        <v>0</v>
      </c>
      <c r="T33" s="16">
        <f t="shared" si="4"/>
        <v>0</v>
      </c>
      <c r="U33" s="16">
        <f t="shared" si="4"/>
        <v>0</v>
      </c>
      <c r="V33" s="16">
        <f t="shared" si="4"/>
        <v>0</v>
      </c>
      <c r="W33" s="16">
        <f t="shared" si="4"/>
        <v>0</v>
      </c>
      <c r="X33" s="16">
        <f t="shared" si="4"/>
        <v>0</v>
      </c>
      <c r="Y33" s="16">
        <f t="shared" si="4"/>
        <v>0</v>
      </c>
      <c r="Z33" s="16">
        <f t="shared" si="4"/>
        <v>0</v>
      </c>
      <c r="AA33" s="16">
        <f t="shared" si="4"/>
        <v>0</v>
      </c>
      <c r="AB33" s="16">
        <f t="shared" si="4"/>
        <v>0</v>
      </c>
    </row>
    <row r="34" spans="1:28" x14ac:dyDescent="0.4">
      <c r="A34" s="13"/>
      <c r="E34" s="12"/>
    </row>
    <row r="35" spans="1:28" x14ac:dyDescent="0.4">
      <c r="A35" t="str">
        <f>"Cash required to give target "&amp;TEXT($E$8,"##%")&amp;" IRR at given date"</f>
        <v>Cash required to give target 25% IRR at given date</v>
      </c>
      <c r="E35" s="17">
        <f>C27</f>
        <v>277.22384042968878</v>
      </c>
      <c r="F35" s="16">
        <f>(E35-E36)*(1+$E$8)^(1/365)^(F$29-E$29)</f>
        <v>359.91671428682668</v>
      </c>
      <c r="G35" s="16">
        <f>(F35-F36-F31)*(1+$E$8)^(1/365)^(G$29-F$29)</f>
        <v>361.34596426060875</v>
      </c>
      <c r="H35" s="16">
        <f t="shared" ref="H35:AB35" si="5">(G35-G36-G31)*(1+$E$8)^(1/365)^(H$29-G$29)</f>
        <v>341.60446496615492</v>
      </c>
      <c r="I35" s="16">
        <f t="shared" si="5"/>
        <v>312.11406807990244</v>
      </c>
      <c r="J35" s="16">
        <f t="shared" si="5"/>
        <v>272.26017727668449</v>
      </c>
      <c r="K35" s="16">
        <f t="shared" si="5"/>
        <v>221.38945045117279</v>
      </c>
      <c r="L35" s="16">
        <f t="shared" si="5"/>
        <v>201.32906302547767</v>
      </c>
      <c r="M35" s="16">
        <f t="shared" si="5"/>
        <v>128.97796851137798</v>
      </c>
      <c r="N35" s="16">
        <f t="shared" si="5"/>
        <v>51.250718100428834</v>
      </c>
      <c r="O35" s="16">
        <f t="shared" si="5"/>
        <v>3.4556519793483833</v>
      </c>
      <c r="P35" s="16">
        <f t="shared" si="5"/>
        <v>0</v>
      </c>
      <c r="Q35" s="16">
        <f t="shared" si="5"/>
        <v>0</v>
      </c>
      <c r="R35" s="16">
        <f t="shared" si="5"/>
        <v>0</v>
      </c>
      <c r="S35" s="16">
        <f t="shared" si="5"/>
        <v>0</v>
      </c>
      <c r="T35" s="16">
        <f t="shared" si="5"/>
        <v>0</v>
      </c>
      <c r="U35" s="16">
        <f t="shared" si="5"/>
        <v>0</v>
      </c>
      <c r="V35" s="16">
        <f t="shared" si="5"/>
        <v>0</v>
      </c>
      <c r="W35" s="16">
        <f t="shared" si="5"/>
        <v>0</v>
      </c>
      <c r="X35" s="16">
        <f t="shared" si="5"/>
        <v>0</v>
      </c>
      <c r="Y35" s="16">
        <f t="shared" si="5"/>
        <v>0</v>
      </c>
      <c r="Z35" s="16">
        <f t="shared" si="5"/>
        <v>0</v>
      </c>
      <c r="AA35" s="16">
        <f t="shared" si="5"/>
        <v>0</v>
      </c>
      <c r="AB35" s="16">
        <f t="shared" si="5"/>
        <v>0</v>
      </c>
    </row>
    <row r="36" spans="1:28" x14ac:dyDescent="0.4">
      <c r="A36" t="str">
        <f>"Further Cash utilised toward "&amp;TEXT($E$8,"##%")&amp;" IRR"</f>
        <v>Further Cash utilised toward 25% IRR</v>
      </c>
      <c r="C36" s="16">
        <f>SUM(F36:AB36)</f>
        <v>73.155787706905699</v>
      </c>
      <c r="E36" s="12"/>
      <c r="F36" s="16">
        <f>MIN(F33*$C$8,F35-F31)</f>
        <v>0</v>
      </c>
      <c r="G36" s="16">
        <f t="shared" ref="G36:AB36" si="6">MIN(G33*$C$8,G35-G31)</f>
        <v>0</v>
      </c>
      <c r="H36" s="16">
        <f t="shared" si="6"/>
        <v>0</v>
      </c>
      <c r="I36" s="16">
        <f t="shared" si="6"/>
        <v>0</v>
      </c>
      <c r="J36" s="16">
        <f t="shared" si="6"/>
        <v>0</v>
      </c>
      <c r="K36" s="16">
        <f t="shared" si="6"/>
        <v>0</v>
      </c>
      <c r="L36" s="16">
        <f t="shared" si="6"/>
        <v>0</v>
      </c>
      <c r="M36" s="16">
        <f t="shared" si="6"/>
        <v>21.700135727557306</v>
      </c>
      <c r="N36" s="16">
        <f t="shared" si="6"/>
        <v>48</v>
      </c>
      <c r="O36" s="16">
        <f t="shared" si="6"/>
        <v>3.4556519793483833</v>
      </c>
      <c r="P36" s="16">
        <f t="shared" si="6"/>
        <v>0</v>
      </c>
      <c r="Q36" s="16">
        <f t="shared" si="6"/>
        <v>0</v>
      </c>
      <c r="R36" s="16">
        <f t="shared" si="6"/>
        <v>0</v>
      </c>
      <c r="S36" s="16">
        <f t="shared" si="6"/>
        <v>0</v>
      </c>
      <c r="T36" s="16">
        <f t="shared" si="6"/>
        <v>0</v>
      </c>
      <c r="U36" s="16">
        <f t="shared" si="6"/>
        <v>0</v>
      </c>
      <c r="V36" s="16">
        <f t="shared" si="6"/>
        <v>0</v>
      </c>
      <c r="W36" s="16">
        <f t="shared" si="6"/>
        <v>0</v>
      </c>
      <c r="X36" s="16">
        <f t="shared" si="6"/>
        <v>0</v>
      </c>
      <c r="Y36" s="16">
        <f t="shared" si="6"/>
        <v>0</v>
      </c>
      <c r="Z36" s="16">
        <f t="shared" si="6"/>
        <v>0</v>
      </c>
      <c r="AA36" s="16">
        <f t="shared" si="6"/>
        <v>0</v>
      </c>
      <c r="AB36" s="16">
        <f t="shared" si="6"/>
        <v>0</v>
      </c>
    </row>
    <row r="37" spans="1:28" x14ac:dyDescent="0.4">
      <c r="A37" s="2"/>
      <c r="E37" s="12"/>
    </row>
    <row r="38" spans="1:28" x14ac:dyDescent="0.4">
      <c r="A38" s="2" t="s">
        <v>15</v>
      </c>
      <c r="C38">
        <f>SUM(F38:AB38)</f>
        <v>77.696232013767741</v>
      </c>
      <c r="E38" s="12"/>
      <c r="F38" s="15">
        <f>(F33-F36/$C$8)*$C$9</f>
        <v>0</v>
      </c>
      <c r="G38" s="15">
        <f t="shared" ref="G38:AB38" si="7">(G33-G36/$C$8)*$C$9</f>
        <v>0</v>
      </c>
      <c r="H38" s="15">
        <f t="shared" si="7"/>
        <v>0</v>
      </c>
      <c r="I38" s="15">
        <f t="shared" si="7"/>
        <v>0</v>
      </c>
      <c r="J38" s="15">
        <f t="shared" si="7"/>
        <v>0</v>
      </c>
      <c r="K38" s="15">
        <f t="shared" si="7"/>
        <v>0</v>
      </c>
      <c r="L38" s="15">
        <f t="shared" si="7"/>
        <v>0</v>
      </c>
      <c r="M38" s="15">
        <f t="shared" si="7"/>
        <v>0</v>
      </c>
      <c r="N38" s="15">
        <f t="shared" si="7"/>
        <v>0</v>
      </c>
      <c r="O38" s="15">
        <f t="shared" si="7"/>
        <v>33.696232013767748</v>
      </c>
      <c r="P38" s="15">
        <f t="shared" si="7"/>
        <v>44</v>
      </c>
      <c r="Q38" s="15">
        <f t="shared" si="7"/>
        <v>0</v>
      </c>
      <c r="R38" s="15">
        <f t="shared" si="7"/>
        <v>0</v>
      </c>
      <c r="S38" s="15">
        <f t="shared" si="7"/>
        <v>0</v>
      </c>
      <c r="T38" s="15">
        <f t="shared" si="7"/>
        <v>0</v>
      </c>
      <c r="U38" s="15">
        <f t="shared" si="7"/>
        <v>0</v>
      </c>
      <c r="V38" s="15">
        <f t="shared" si="7"/>
        <v>0</v>
      </c>
      <c r="W38" s="15">
        <f t="shared" si="7"/>
        <v>0</v>
      </c>
      <c r="X38" s="15">
        <f t="shared" si="7"/>
        <v>0</v>
      </c>
      <c r="Y38" s="15">
        <f t="shared" si="7"/>
        <v>0</v>
      </c>
      <c r="Z38" s="15">
        <f t="shared" si="7"/>
        <v>0</v>
      </c>
      <c r="AA38" s="15">
        <f t="shared" si="7"/>
        <v>0</v>
      </c>
      <c r="AB38" s="15">
        <f t="shared" si="7"/>
        <v>0</v>
      </c>
    </row>
    <row r="39" spans="1:28" ht="13.5" thickBot="1" x14ac:dyDescent="0.45">
      <c r="E39" s="12"/>
    </row>
    <row r="40" spans="1:28" x14ac:dyDescent="0.4">
      <c r="A40" s="18" t="s">
        <v>16</v>
      </c>
      <c r="B40" s="19"/>
      <c r="C40" s="19"/>
      <c r="D40" s="19"/>
      <c r="E40" s="20"/>
      <c r="F40" s="20">
        <f>F13</f>
        <v>40909</v>
      </c>
      <c r="G40" s="20">
        <f>MAX(F40,G13)</f>
        <v>40947</v>
      </c>
      <c r="H40" s="20">
        <f t="shared" ref="H40:AB40" si="8">MAX(G40,H13)</f>
        <v>40992</v>
      </c>
      <c r="I40" s="20">
        <f t="shared" si="8"/>
        <v>41004</v>
      </c>
      <c r="J40" s="20">
        <f t="shared" si="8"/>
        <v>41142</v>
      </c>
      <c r="K40" s="20">
        <f t="shared" si="8"/>
        <v>41180</v>
      </c>
      <c r="L40" s="20">
        <f t="shared" si="8"/>
        <v>41276</v>
      </c>
      <c r="M40" s="20">
        <f t="shared" si="8"/>
        <v>41276</v>
      </c>
      <c r="N40" s="20">
        <f t="shared" si="8"/>
        <v>41276</v>
      </c>
      <c r="O40" s="20">
        <f t="shared" si="8"/>
        <v>41276</v>
      </c>
      <c r="P40" s="20">
        <f t="shared" si="8"/>
        <v>41276</v>
      </c>
      <c r="Q40" s="20">
        <f t="shared" si="8"/>
        <v>41276</v>
      </c>
      <c r="R40" s="20">
        <f t="shared" si="8"/>
        <v>41276</v>
      </c>
      <c r="S40" s="20">
        <f t="shared" si="8"/>
        <v>41276</v>
      </c>
      <c r="T40" s="20">
        <f t="shared" si="8"/>
        <v>41276</v>
      </c>
      <c r="U40" s="20">
        <f t="shared" si="8"/>
        <v>41276</v>
      </c>
      <c r="V40" s="20">
        <f t="shared" si="8"/>
        <v>41276</v>
      </c>
      <c r="W40" s="20">
        <f t="shared" si="8"/>
        <v>41276</v>
      </c>
      <c r="X40" s="20">
        <f t="shared" si="8"/>
        <v>41276</v>
      </c>
      <c r="Y40" s="20">
        <f t="shared" si="8"/>
        <v>41276</v>
      </c>
      <c r="Z40" s="20">
        <f t="shared" si="8"/>
        <v>41276</v>
      </c>
      <c r="AA40" s="20">
        <f t="shared" si="8"/>
        <v>41276</v>
      </c>
      <c r="AB40" s="20">
        <f t="shared" si="8"/>
        <v>41276</v>
      </c>
    </row>
    <row r="41" spans="1:28" ht="13.5" thickBot="1" x14ac:dyDescent="0.45">
      <c r="A41" s="21"/>
      <c r="B41" s="22"/>
      <c r="C41" s="22"/>
      <c r="D41" s="22"/>
      <c r="E41" s="23"/>
      <c r="F41" s="23">
        <f>F17</f>
        <v>41336</v>
      </c>
      <c r="G41" s="23">
        <f t="shared" ref="G41:AB41" si="9">G17</f>
        <v>41436</v>
      </c>
      <c r="H41" s="23">
        <f t="shared" si="9"/>
        <v>41536</v>
      </c>
      <c r="I41" s="23">
        <f t="shared" si="9"/>
        <v>41636</v>
      </c>
      <c r="J41" s="23">
        <f t="shared" si="9"/>
        <v>41736</v>
      </c>
      <c r="K41" s="23">
        <f t="shared" si="9"/>
        <v>41836</v>
      </c>
      <c r="L41" s="23">
        <f t="shared" si="9"/>
        <v>41936</v>
      </c>
      <c r="M41" s="23">
        <f t="shared" si="9"/>
        <v>42036</v>
      </c>
      <c r="N41" s="23">
        <f t="shared" si="9"/>
        <v>42136</v>
      </c>
      <c r="O41" s="23">
        <f t="shared" si="9"/>
        <v>42236</v>
      </c>
      <c r="P41" s="23">
        <f t="shared" si="9"/>
        <v>42336</v>
      </c>
      <c r="Q41" s="23">
        <f t="shared" si="9"/>
        <v>42436</v>
      </c>
      <c r="R41" s="23">
        <f t="shared" si="9"/>
        <v>42536</v>
      </c>
      <c r="S41" s="23">
        <f t="shared" si="9"/>
        <v>42636</v>
      </c>
      <c r="T41" s="23">
        <f t="shared" si="9"/>
        <v>42736</v>
      </c>
      <c r="U41" s="23">
        <f t="shared" si="9"/>
        <v>42836</v>
      </c>
      <c r="V41" s="23">
        <f t="shared" si="9"/>
        <v>42936</v>
      </c>
      <c r="W41" s="23">
        <f t="shared" si="9"/>
        <v>43036</v>
      </c>
      <c r="X41" s="23">
        <f t="shared" si="9"/>
        <v>43136</v>
      </c>
      <c r="Y41" s="23">
        <f t="shared" si="9"/>
        <v>43236</v>
      </c>
      <c r="Z41" s="23">
        <f t="shared" si="9"/>
        <v>43336</v>
      </c>
      <c r="AA41" s="23">
        <f t="shared" si="9"/>
        <v>43436</v>
      </c>
      <c r="AB41" s="23">
        <f t="shared" si="9"/>
        <v>43536</v>
      </c>
    </row>
    <row r="42" spans="1:28" x14ac:dyDescent="0.4">
      <c r="E42" s="12"/>
    </row>
    <row r="43" spans="1:28" x14ac:dyDescent="0.4">
      <c r="A43" s="24" t="s">
        <v>17</v>
      </c>
      <c r="B43" s="25"/>
      <c r="C43" s="25"/>
      <c r="D43" s="25"/>
      <c r="E43" s="26"/>
      <c r="F43" s="25">
        <f>-F$14</f>
        <v>-15</v>
      </c>
      <c r="G43" s="25">
        <f t="shared" ref="G43:AB43" si="10">-G$14</f>
        <v>-50</v>
      </c>
      <c r="H43" s="25">
        <f t="shared" si="10"/>
        <v>-12</v>
      </c>
      <c r="I43" s="25">
        <f t="shared" si="10"/>
        <v>-32</v>
      </c>
      <c r="J43" s="25">
        <f t="shared" si="10"/>
        <v>-18</v>
      </c>
      <c r="K43" s="25">
        <f t="shared" si="10"/>
        <v>-90</v>
      </c>
      <c r="L43" s="25">
        <f t="shared" si="10"/>
        <v>-100</v>
      </c>
      <c r="M43" s="25">
        <f t="shared" si="10"/>
        <v>0</v>
      </c>
      <c r="N43" s="25">
        <f t="shared" si="10"/>
        <v>0</v>
      </c>
      <c r="O43" s="25">
        <f t="shared" si="10"/>
        <v>0</v>
      </c>
      <c r="P43" s="25">
        <f t="shared" si="10"/>
        <v>0</v>
      </c>
      <c r="Q43" s="25">
        <f t="shared" si="10"/>
        <v>0</v>
      </c>
      <c r="R43" s="25">
        <f t="shared" si="10"/>
        <v>0</v>
      </c>
      <c r="S43" s="25">
        <f t="shared" si="10"/>
        <v>0</v>
      </c>
      <c r="T43" s="25">
        <f t="shared" si="10"/>
        <v>0</v>
      </c>
      <c r="U43" s="25">
        <f t="shared" si="10"/>
        <v>0</v>
      </c>
      <c r="V43" s="25">
        <f t="shared" si="10"/>
        <v>0</v>
      </c>
      <c r="W43" s="25">
        <f t="shared" si="10"/>
        <v>0</v>
      </c>
      <c r="X43" s="25">
        <f t="shared" si="10"/>
        <v>0</v>
      </c>
      <c r="Y43" s="25">
        <f t="shared" si="10"/>
        <v>0</v>
      </c>
      <c r="Z43" s="25">
        <f t="shared" si="10"/>
        <v>0</v>
      </c>
      <c r="AA43" s="25">
        <f t="shared" si="10"/>
        <v>0</v>
      </c>
      <c r="AB43" s="25">
        <f t="shared" si="10"/>
        <v>0</v>
      </c>
    </row>
    <row r="44" spans="1:28" ht="13.5" thickBot="1" x14ac:dyDescent="0.45">
      <c r="A44" s="29" t="s">
        <v>18</v>
      </c>
      <c r="B44" s="30"/>
      <c r="C44" s="30"/>
      <c r="D44" s="30"/>
      <c r="E44" s="27"/>
      <c r="F44" s="28">
        <f>F31</f>
        <v>20</v>
      </c>
      <c r="G44" s="28">
        <f t="shared" ref="G44:AB44" si="11">G31</f>
        <v>40</v>
      </c>
      <c r="H44" s="28">
        <f t="shared" si="11"/>
        <v>48</v>
      </c>
      <c r="I44" s="28">
        <f t="shared" si="11"/>
        <v>56</v>
      </c>
      <c r="J44" s="28">
        <f t="shared" si="11"/>
        <v>64</v>
      </c>
      <c r="K44" s="28">
        <f t="shared" si="11"/>
        <v>32</v>
      </c>
      <c r="L44" s="28">
        <f t="shared" si="11"/>
        <v>80</v>
      </c>
      <c r="M44" s="28">
        <f t="shared" si="11"/>
        <v>59.066485696590256</v>
      </c>
      <c r="N44" s="28">
        <f t="shared" si="11"/>
        <v>0</v>
      </c>
      <c r="O44" s="28">
        <f t="shared" si="11"/>
        <v>0</v>
      </c>
      <c r="P44" s="28">
        <f t="shared" si="11"/>
        <v>0</v>
      </c>
      <c r="Q44" s="28">
        <f t="shared" si="11"/>
        <v>0</v>
      </c>
      <c r="R44" s="28">
        <f t="shared" si="11"/>
        <v>0</v>
      </c>
      <c r="S44" s="28">
        <f t="shared" si="11"/>
        <v>0</v>
      </c>
      <c r="T44" s="28">
        <f t="shared" si="11"/>
        <v>0</v>
      </c>
      <c r="U44" s="28">
        <f t="shared" si="11"/>
        <v>0</v>
      </c>
      <c r="V44" s="28">
        <f t="shared" si="11"/>
        <v>0</v>
      </c>
      <c r="W44" s="28">
        <f t="shared" si="11"/>
        <v>0</v>
      </c>
      <c r="X44" s="28">
        <f t="shared" si="11"/>
        <v>0</v>
      </c>
      <c r="Y44" s="28">
        <f t="shared" si="11"/>
        <v>0</v>
      </c>
      <c r="Z44" s="28">
        <f t="shared" si="11"/>
        <v>0</v>
      </c>
      <c r="AA44" s="28">
        <f t="shared" si="11"/>
        <v>0</v>
      </c>
      <c r="AB44" s="28">
        <f t="shared" si="11"/>
        <v>0</v>
      </c>
    </row>
    <row r="45" spans="1:28" ht="13.5" thickBot="1" x14ac:dyDescent="0.45">
      <c r="A45" s="31" t="s">
        <v>19</v>
      </c>
      <c r="B45" s="32"/>
      <c r="C45" s="33">
        <f>XIRR(F43:AB44,$F$40:$AB$41)</f>
        <v>0.15000000596046451</v>
      </c>
      <c r="D45" s="34"/>
      <c r="E45" s="12"/>
    </row>
    <row r="46" spans="1:28" x14ac:dyDescent="0.4">
      <c r="E46" s="12"/>
    </row>
    <row r="47" spans="1:28" x14ac:dyDescent="0.4">
      <c r="A47" s="35" t="s">
        <v>20</v>
      </c>
      <c r="B47" s="25"/>
      <c r="C47" s="25"/>
      <c r="D47" s="25"/>
      <c r="E47" s="26"/>
      <c r="F47" s="25">
        <f>-F$14</f>
        <v>-15</v>
      </c>
      <c r="G47" s="25">
        <f t="shared" ref="G47:AB47" si="12">-G$14</f>
        <v>-50</v>
      </c>
      <c r="H47" s="25">
        <f t="shared" si="12"/>
        <v>-12</v>
      </c>
      <c r="I47" s="25">
        <f t="shared" si="12"/>
        <v>-32</v>
      </c>
      <c r="J47" s="25">
        <f t="shared" si="12"/>
        <v>-18</v>
      </c>
      <c r="K47" s="25">
        <f t="shared" si="12"/>
        <v>-90</v>
      </c>
      <c r="L47" s="25">
        <f t="shared" si="12"/>
        <v>-100</v>
      </c>
      <c r="M47" s="25">
        <f t="shared" si="12"/>
        <v>0</v>
      </c>
      <c r="N47" s="25">
        <f t="shared" si="12"/>
        <v>0</v>
      </c>
      <c r="O47" s="25">
        <f t="shared" si="12"/>
        <v>0</v>
      </c>
      <c r="P47" s="25">
        <f t="shared" si="12"/>
        <v>0</v>
      </c>
      <c r="Q47" s="25">
        <f t="shared" si="12"/>
        <v>0</v>
      </c>
      <c r="R47" s="25">
        <f t="shared" si="12"/>
        <v>0</v>
      </c>
      <c r="S47" s="25">
        <f t="shared" si="12"/>
        <v>0</v>
      </c>
      <c r="T47" s="25">
        <f t="shared" si="12"/>
        <v>0</v>
      </c>
      <c r="U47" s="25">
        <f t="shared" si="12"/>
        <v>0</v>
      </c>
      <c r="V47" s="25">
        <f t="shared" si="12"/>
        <v>0</v>
      </c>
      <c r="W47" s="25">
        <f t="shared" si="12"/>
        <v>0</v>
      </c>
      <c r="X47" s="25">
        <f t="shared" si="12"/>
        <v>0</v>
      </c>
      <c r="Y47" s="25">
        <f t="shared" si="12"/>
        <v>0</v>
      </c>
      <c r="Z47" s="25">
        <f t="shared" si="12"/>
        <v>0</v>
      </c>
      <c r="AA47" s="25">
        <f t="shared" si="12"/>
        <v>0</v>
      </c>
      <c r="AB47" s="25">
        <f t="shared" si="12"/>
        <v>0</v>
      </c>
    </row>
    <row r="48" spans="1:28" ht="13.5" thickBot="1" x14ac:dyDescent="0.45">
      <c r="A48" s="36" t="s">
        <v>21</v>
      </c>
      <c r="B48" s="30"/>
      <c r="C48" s="30"/>
      <c r="D48" s="30"/>
      <c r="E48" s="27"/>
      <c r="F48" s="28">
        <f>F31+F36</f>
        <v>20</v>
      </c>
      <c r="G48" s="28">
        <f t="shared" ref="G48:AB48" si="13">G31+G36</f>
        <v>40</v>
      </c>
      <c r="H48" s="28">
        <f t="shared" si="13"/>
        <v>48</v>
      </c>
      <c r="I48" s="28">
        <f t="shared" si="13"/>
        <v>56</v>
      </c>
      <c r="J48" s="28">
        <f t="shared" si="13"/>
        <v>64</v>
      </c>
      <c r="K48" s="28">
        <f t="shared" si="13"/>
        <v>32</v>
      </c>
      <c r="L48" s="28">
        <f t="shared" si="13"/>
        <v>80</v>
      </c>
      <c r="M48" s="28">
        <f t="shared" si="13"/>
        <v>80.766621424147559</v>
      </c>
      <c r="N48" s="28">
        <f t="shared" si="13"/>
        <v>48</v>
      </c>
      <c r="O48" s="28">
        <f t="shared" si="13"/>
        <v>3.4556519793483833</v>
      </c>
      <c r="P48" s="28">
        <f t="shared" si="13"/>
        <v>0</v>
      </c>
      <c r="Q48" s="28">
        <f t="shared" si="13"/>
        <v>0</v>
      </c>
      <c r="R48" s="28">
        <f t="shared" si="13"/>
        <v>0</v>
      </c>
      <c r="S48" s="28">
        <f t="shared" si="13"/>
        <v>0</v>
      </c>
      <c r="T48" s="28">
        <f t="shared" si="13"/>
        <v>0</v>
      </c>
      <c r="U48" s="28">
        <f t="shared" si="13"/>
        <v>0</v>
      </c>
      <c r="V48" s="28">
        <f t="shared" si="13"/>
        <v>0</v>
      </c>
      <c r="W48" s="28">
        <f t="shared" si="13"/>
        <v>0</v>
      </c>
      <c r="X48" s="28">
        <f t="shared" si="13"/>
        <v>0</v>
      </c>
      <c r="Y48" s="28">
        <f t="shared" si="13"/>
        <v>0</v>
      </c>
      <c r="Z48" s="28">
        <f t="shared" si="13"/>
        <v>0</v>
      </c>
      <c r="AA48" s="28">
        <f t="shared" si="13"/>
        <v>0</v>
      </c>
      <c r="AB48" s="28">
        <f t="shared" si="13"/>
        <v>0</v>
      </c>
    </row>
    <row r="49" spans="1:28" ht="13.5" thickBot="1" x14ac:dyDescent="0.45">
      <c r="A49" s="37" t="s">
        <v>25</v>
      </c>
      <c r="B49" s="32"/>
      <c r="C49" s="33">
        <f>XIRR(F47:AB48,$F$40:$AB$41)</f>
        <v>0.24999999403953552</v>
      </c>
      <c r="D49" s="34"/>
      <c r="E49" s="12"/>
    </row>
    <row r="50" spans="1:28" x14ac:dyDescent="0.4">
      <c r="E50" s="12"/>
    </row>
    <row r="51" spans="1:28" x14ac:dyDescent="0.4">
      <c r="A51" s="35" t="s">
        <v>22</v>
      </c>
      <c r="B51" s="25"/>
      <c r="C51" s="25"/>
      <c r="D51" s="25"/>
      <c r="E51" s="26"/>
      <c r="F51" s="25">
        <f>-F$14</f>
        <v>-15</v>
      </c>
      <c r="G51" s="25">
        <f t="shared" ref="G51:AB51" si="14">-G$14</f>
        <v>-50</v>
      </c>
      <c r="H51" s="25">
        <f t="shared" si="14"/>
        <v>-12</v>
      </c>
      <c r="I51" s="25">
        <f t="shared" si="14"/>
        <v>-32</v>
      </c>
      <c r="J51" s="25">
        <f t="shared" si="14"/>
        <v>-18</v>
      </c>
      <c r="K51" s="25">
        <f t="shared" si="14"/>
        <v>-90</v>
      </c>
      <c r="L51" s="25">
        <f t="shared" si="14"/>
        <v>-100</v>
      </c>
      <c r="M51" s="25">
        <f t="shared" si="14"/>
        <v>0</v>
      </c>
      <c r="N51" s="25">
        <f t="shared" si="14"/>
        <v>0</v>
      </c>
      <c r="O51" s="25">
        <f t="shared" si="14"/>
        <v>0</v>
      </c>
      <c r="P51" s="25">
        <f t="shared" si="14"/>
        <v>0</v>
      </c>
      <c r="Q51" s="25">
        <f t="shared" si="14"/>
        <v>0</v>
      </c>
      <c r="R51" s="25">
        <f t="shared" si="14"/>
        <v>0</v>
      </c>
      <c r="S51" s="25">
        <f t="shared" si="14"/>
        <v>0</v>
      </c>
      <c r="T51" s="25">
        <f t="shared" si="14"/>
        <v>0</v>
      </c>
      <c r="U51" s="25">
        <f t="shared" si="14"/>
        <v>0</v>
      </c>
      <c r="V51" s="25">
        <f t="shared" si="14"/>
        <v>0</v>
      </c>
      <c r="W51" s="25">
        <f t="shared" si="14"/>
        <v>0</v>
      </c>
      <c r="X51" s="25">
        <f t="shared" si="14"/>
        <v>0</v>
      </c>
      <c r="Y51" s="25">
        <f t="shared" si="14"/>
        <v>0</v>
      </c>
      <c r="Z51" s="25">
        <f t="shared" si="14"/>
        <v>0</v>
      </c>
      <c r="AA51" s="25">
        <f t="shared" si="14"/>
        <v>0</v>
      </c>
      <c r="AB51" s="25">
        <f t="shared" si="14"/>
        <v>0</v>
      </c>
    </row>
    <row r="52" spans="1:28" ht="13.5" thickBot="1" x14ac:dyDescent="0.45">
      <c r="A52" s="36" t="s">
        <v>23</v>
      </c>
      <c r="B52" s="30"/>
      <c r="C52" s="30"/>
      <c r="D52" s="30"/>
      <c r="E52" s="27"/>
      <c r="F52" s="28">
        <f>F31+F36+F38</f>
        <v>20</v>
      </c>
      <c r="G52" s="28">
        <f t="shared" ref="G52:AB52" si="15">G31+G36+G38</f>
        <v>40</v>
      </c>
      <c r="H52" s="28">
        <f t="shared" si="15"/>
        <v>48</v>
      </c>
      <c r="I52" s="28">
        <f t="shared" si="15"/>
        <v>56</v>
      </c>
      <c r="J52" s="28">
        <f t="shared" si="15"/>
        <v>64</v>
      </c>
      <c r="K52" s="28">
        <f t="shared" si="15"/>
        <v>32</v>
      </c>
      <c r="L52" s="28">
        <f t="shared" si="15"/>
        <v>80</v>
      </c>
      <c r="M52" s="28">
        <f t="shared" si="15"/>
        <v>80.766621424147559</v>
      </c>
      <c r="N52" s="28">
        <f t="shared" si="15"/>
        <v>48</v>
      </c>
      <c r="O52" s="28">
        <f t="shared" si="15"/>
        <v>37.15188399311613</v>
      </c>
      <c r="P52" s="28">
        <f t="shared" si="15"/>
        <v>44</v>
      </c>
      <c r="Q52" s="28">
        <f t="shared" si="15"/>
        <v>0</v>
      </c>
      <c r="R52" s="28">
        <f t="shared" si="15"/>
        <v>0</v>
      </c>
      <c r="S52" s="28">
        <f t="shared" si="15"/>
        <v>0</v>
      </c>
      <c r="T52" s="28">
        <f t="shared" si="15"/>
        <v>0</v>
      </c>
      <c r="U52" s="28">
        <f t="shared" si="15"/>
        <v>0</v>
      </c>
      <c r="V52" s="28">
        <f t="shared" si="15"/>
        <v>0</v>
      </c>
      <c r="W52" s="28">
        <f t="shared" si="15"/>
        <v>0</v>
      </c>
      <c r="X52" s="28">
        <f t="shared" si="15"/>
        <v>0</v>
      </c>
      <c r="Y52" s="28">
        <f t="shared" si="15"/>
        <v>0</v>
      </c>
      <c r="Z52" s="28">
        <f t="shared" si="15"/>
        <v>0</v>
      </c>
      <c r="AA52" s="28">
        <f t="shared" si="15"/>
        <v>0</v>
      </c>
      <c r="AB52" s="28">
        <f t="shared" si="15"/>
        <v>0</v>
      </c>
    </row>
    <row r="53" spans="1:28" ht="13.5" thickBot="1" x14ac:dyDescent="0.45">
      <c r="A53" s="37" t="s">
        <v>24</v>
      </c>
      <c r="B53" s="32"/>
      <c r="C53" s="33">
        <f>XIRR(F51:AB52,$F$40:$AB$41)</f>
        <v>0.32727463841438298</v>
      </c>
      <c r="D53" s="34"/>
      <c r="E53" s="12"/>
    </row>
  </sheetData>
  <phoneticPr fontId="0" type="noConversion"/>
  <pageMargins left="0.75" right="0.75" top="1" bottom="1" header="0.5" footer="0.5"/>
  <pageSetup paperSize="9" orientation="portrait" horizontalDpi="1200" verticalDpi="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Lynch Financial Modelling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Penny Lynch</dc:creator>
  <cp:lastModifiedBy>administrator</cp:lastModifiedBy>
  <dcterms:created xsi:type="dcterms:W3CDTF">2009-09-07T14:44:31Z</dcterms:created>
  <dcterms:modified xsi:type="dcterms:W3CDTF">2020-09-19T16:31:12Z</dcterms:modified>
</cp:coreProperties>
</file>